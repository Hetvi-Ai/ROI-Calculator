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egenbipcorps\Downloads\"/>
    </mc:Choice>
  </mc:AlternateContent>
  <xr:revisionPtr revIDLastSave="0" documentId="13_ncr:1_{0C2B4352-C107-4A8D-963D-1F53FC41E060}" xr6:coauthVersionLast="47" xr6:coauthVersionMax="47" xr10:uidLastSave="{00000000-0000-0000-0000-000000000000}"/>
  <bookViews>
    <workbookView xWindow="-96" yWindow="0" windowWidth="11712" windowHeight="12336" firstSheet="4" activeTab="4" xr2:uid="{00000000-000D-0000-FFFF-FFFF00000000}"/>
  </bookViews>
  <sheets>
    <sheet name="Gutsol Liquid ROI" sheetId="1" r:id="rId1"/>
    <sheet name="Gutsol Powder ROI" sheetId="2" r:id="rId2"/>
    <sheet name="Immon Layer Powder " sheetId="8" r:id="rId3"/>
    <sheet name="Immon Powder with Mortality Bro" sheetId="4" r:id="rId4"/>
    <sheet name="Colikil-R Powder Prevention " sheetId="5" r:id="rId5"/>
    <sheet name="Colikil-Liquid Prevention " sheetId="7" r:id="rId6"/>
    <sheet name="CRDX-IR Liquid " sheetId="9" r:id="rId7"/>
    <sheet name="Thermogard Liquid 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9" l="1"/>
  <c r="B13" i="9"/>
  <c r="B14" i="9" s="1"/>
  <c r="B11" i="9"/>
  <c r="B17" i="5"/>
  <c r="B11" i="5"/>
  <c r="B12" i="5" s="1"/>
  <c r="B13" i="5"/>
  <c r="B15" i="5" s="1"/>
  <c r="B16" i="5" s="1"/>
  <c r="B14" i="5"/>
  <c r="B18" i="5" s="1"/>
  <c r="B16" i="9"/>
  <c r="B17" i="9" s="1"/>
  <c r="B12" i="9"/>
  <c r="B14" i="2"/>
  <c r="B15" i="2"/>
  <c r="B14" i="8"/>
  <c r="B19" i="8"/>
  <c r="B16" i="8"/>
  <c r="B18" i="8"/>
  <c r="B17" i="8"/>
  <c r="B12" i="8"/>
  <c r="B13" i="8" s="1"/>
  <c r="B15" i="8" s="1"/>
  <c r="B20" i="8" s="1"/>
  <c r="B21" i="8" s="1"/>
  <c r="B15" i="4"/>
  <c r="B16" i="4" s="1"/>
  <c r="B13" i="4"/>
  <c r="B12" i="4"/>
  <c r="B14" i="4" s="1"/>
  <c r="B16" i="1"/>
  <c r="B18" i="9" l="1"/>
  <c r="B19" i="9" s="1"/>
  <c r="B19" i="5"/>
  <c r="B20" i="5" s="1"/>
  <c r="B21" i="5" s="1"/>
  <c r="B17" i="4"/>
  <c r="B18" i="4" s="1"/>
  <c r="B19" i="4" s="1"/>
  <c r="B19" i="2"/>
  <c r="B20" i="2" s="1"/>
  <c r="B17" i="2"/>
  <c r="B18" i="2" s="1"/>
  <c r="B16" i="2"/>
  <c r="B24" i="2" s="1"/>
  <c r="B21" i="2" l="1"/>
  <c r="B25" i="2" s="1"/>
  <c r="B22" i="2" l="1"/>
  <c r="B23" i="2"/>
  <c r="B13" i="1" l="1"/>
  <c r="B14" i="1" s="1"/>
  <c r="B15" i="1"/>
  <c r="B12" i="1"/>
  <c r="B19" i="1" s="1"/>
  <c r="B18" i="1" l="1"/>
  <c r="B17" i="1"/>
</calcChain>
</file>

<file path=xl/sharedStrings.xml><?xml version="1.0" encoding="utf-8"?>
<sst xmlns="http://schemas.openxmlformats.org/spreadsheetml/2006/main" count="264" uniqueCount="180">
  <si>
    <t>GUTSOL ROI IMPACT DASHBOARD – 10,000 BIRDS</t>
  </si>
  <si>
    <t>INPUTS</t>
  </si>
  <si>
    <t>Flock Size</t>
  </si>
  <si>
    <t>Gutsol Cost/Bird/Day</t>
  </si>
  <si>
    <t>Duration (Days)</t>
  </si>
  <si>
    <t>Live Bird Price ₹/kg</t>
  </si>
  <si>
    <t>Extra Weight/Bird (g)</t>
  </si>
  <si>
    <t>Mortality Reduction %</t>
  </si>
  <si>
    <t>Avg Bird Weight (kg)</t>
  </si>
  <si>
    <t>CALCULATED IMPACT</t>
  </si>
  <si>
    <t>Investment ₹</t>
  </si>
  <si>
    <t>Additional Weight (kg)</t>
  </si>
  <si>
    <t>Weight Gain Value ₹</t>
  </si>
  <si>
    <t>Birds Saved</t>
  </si>
  <si>
    <t>Mortality Saving ₹</t>
  </si>
  <si>
    <t>Total Value Generation ₹</t>
  </si>
  <si>
    <t>Net Gain ₹</t>
  </si>
  <si>
    <t>ROI (X)</t>
  </si>
  <si>
    <t>ONLY 3 PAISA/BIRD/DAY → BETTER GUT → BETTER INTAKE → BETTER WEIGHT → BETTER PROFIT</t>
  </si>
  <si>
    <t>Variable</t>
  </si>
  <si>
    <t>GUTSOL POWDER ROI DASHBOARD – 10,000 BIRDS</t>
  </si>
  <si>
    <t>Birds</t>
  </si>
  <si>
    <t>Body Weight (kg)</t>
  </si>
  <si>
    <t>FCR</t>
  </si>
  <si>
    <t>Dose (g/ton feed)</t>
  </si>
  <si>
    <t>Gutsol Powder Price ₹/kg</t>
  </si>
  <si>
    <t>Extra Weight Gain/Bird (g)</t>
  </si>
  <si>
    <t>Avg Bird Weight Saved (kg)</t>
  </si>
  <si>
    <t>Total Feed Consumption (kg)</t>
  </si>
  <si>
    <t>Gutsol Required (kg)</t>
  </si>
  <si>
    <t>Mortality Saving Value ₹</t>
  </si>
  <si>
    <t xml:space="preserve">Number </t>
  </si>
  <si>
    <t>Per birds Cost  ₹</t>
  </si>
  <si>
    <t>Per Birds Revenues  ₹</t>
  </si>
  <si>
    <t xml:space="preserve">NUMBER </t>
  </si>
  <si>
    <t>Parameter</t>
  </si>
  <si>
    <t>Value</t>
  </si>
  <si>
    <t>Cost of Immon</t>
  </si>
  <si>
    <t>Paise/bird/day</t>
  </si>
  <si>
    <t>Trial duration</t>
  </si>
  <si>
    <t>Days</t>
  </si>
  <si>
    <t>Control BW</t>
  </si>
  <si>
    <t>kg</t>
  </si>
  <si>
    <t>Immon BW</t>
  </si>
  <si>
    <t>Live bird price</t>
  </si>
  <si>
    <t>Calculation</t>
  </si>
  <si>
    <t xml:space="preserve">Extra BW </t>
  </si>
  <si>
    <t>(kg/bird)</t>
  </si>
  <si>
    <t>Product Cost</t>
  </si>
  <si>
    <t xml:space="preserve"> (Paise/bird)</t>
  </si>
  <si>
    <t xml:space="preserve"> (₹/bird)</t>
  </si>
  <si>
    <t xml:space="preserve">Additional Income </t>
  </si>
  <si>
    <t>(₹/bird)</t>
  </si>
  <si>
    <t xml:space="preserve">Net Profit </t>
  </si>
  <si>
    <t>ROI</t>
  </si>
  <si>
    <t>Unit/Notes</t>
  </si>
  <si>
    <t>₹/kg</t>
  </si>
  <si>
    <t>Control mortality</t>
  </si>
  <si>
    <t>%</t>
  </si>
  <si>
    <t>Immon mortality</t>
  </si>
  <si>
    <t>Formula for Mortality Saving</t>
  </si>
  <si>
    <t>(Mortality Reduction % ÷ 100) × Final BW × Live Bird Price</t>
  </si>
  <si>
    <t>Remarks</t>
  </si>
  <si>
    <t>Medication Start(d)</t>
  </si>
  <si>
    <t>15d</t>
  </si>
  <si>
    <t>Medication End (D)</t>
  </si>
  <si>
    <t>25d</t>
  </si>
  <si>
    <t>(M)Morning (9-11am)</t>
  </si>
  <si>
    <t>30L</t>
  </si>
  <si>
    <t>Water/day (350L)</t>
  </si>
  <si>
    <t>(A)Afternoon (3-5pm)</t>
  </si>
  <si>
    <t>Water/day(350L)</t>
  </si>
  <si>
    <t>Water/Day=(M+A)</t>
  </si>
  <si>
    <t>60L</t>
  </si>
  <si>
    <t xml:space="preserve">Preventive Dose </t>
  </si>
  <si>
    <t>30 mL</t>
  </si>
  <si>
    <t>Total Dose (AD)</t>
  </si>
  <si>
    <t>Cost/Day/Bird (COM)</t>
  </si>
  <si>
    <t>₨ 0.03</t>
  </si>
  <si>
    <t>(AD*P)/(10⁶)</t>
  </si>
  <si>
    <t>Thermogard Price/L (P)</t>
  </si>
  <si>
    <t xml:space="preserve">₨ 1000 </t>
  </si>
  <si>
    <t>Avg. Mortality (AM)</t>
  </si>
  <si>
    <t>Range (5-10%)</t>
  </si>
  <si>
    <t>Weight gain</t>
  </si>
  <si>
    <t xml:space="preserve">40 kg </t>
  </si>
  <si>
    <t>More 40 g/birds</t>
  </si>
  <si>
    <t xml:space="preserve">Improve the weight gain </t>
  </si>
  <si>
    <t>Rs 4400</t>
  </si>
  <si>
    <t xml:space="preserve">ABW 1.5Kg/Rs.120/- </t>
  </si>
  <si>
    <t>Cost of Medication</t>
  </si>
  <si>
    <t>Rs. 450</t>
  </si>
  <si>
    <t>For 15 days</t>
  </si>
  <si>
    <t>HUGE!!!</t>
  </si>
  <si>
    <t>Broiler ROI(Prevention)</t>
  </si>
  <si>
    <t xml:space="preserve">Treatment Dose </t>
  </si>
  <si>
    <t>60 mL</t>
  </si>
  <si>
    <t xml:space="preserve">Total Dose (AD) </t>
  </si>
  <si>
    <t>₨ 0.06</t>
  </si>
  <si>
    <t xml:space="preserve">30 kg </t>
  </si>
  <si>
    <t>More 30 g/birds</t>
  </si>
  <si>
    <t xml:space="preserve">Savings of Mortality (1.5%) /Improve the weight gain </t>
  </si>
  <si>
    <t>Rs.7200</t>
  </si>
  <si>
    <t>Rs. 900</t>
  </si>
  <si>
    <t>Broiler ROI (Treatment)</t>
  </si>
  <si>
    <t>Unit / Remarks</t>
  </si>
  <si>
    <t>Layers</t>
  </si>
  <si>
    <t>Trial Duration</t>
  </si>
  <si>
    <t>Egg Production - Control</t>
  </si>
  <si>
    <t>Egg Production - Treatment</t>
  </si>
  <si>
    <t>Egg Selling Price</t>
  </si>
  <si>
    <t>₹/egg</t>
  </si>
  <si>
    <t>₹/bird/day</t>
  </si>
  <si>
    <t>Mortality Saved</t>
  </si>
  <si>
    <t>% (Editable)</t>
  </si>
  <si>
    <t>Value per Layer</t>
  </si>
  <si>
    <t>₹/bird</t>
  </si>
  <si>
    <t>Automatic Calculations</t>
  </si>
  <si>
    <t>Product Cost/Bird (₹)</t>
  </si>
  <si>
    <t>Total Product Cost (₹)</t>
  </si>
  <si>
    <t>Mortality Benefit (₹)</t>
  </si>
  <si>
    <t>Total Benefit (₹)</t>
  </si>
  <si>
    <t>Net Profit (₹)</t>
  </si>
  <si>
    <t xml:space="preserve">HDP Improvement </t>
  </si>
  <si>
    <t>Mortality Reduction</t>
  </si>
  <si>
    <t xml:space="preserve">Mortality Saving </t>
  </si>
  <si>
    <t xml:space="preserve">Total Benefit </t>
  </si>
  <si>
    <t>Live Bird Price (₹/kg)</t>
  </si>
  <si>
    <t>Feed Price (₹/kg)</t>
  </si>
  <si>
    <t>Product Price (₹/kg)</t>
  </si>
  <si>
    <t>Control BW (kg)</t>
  </si>
  <si>
    <t>Treatment BW (kg)</t>
  </si>
  <si>
    <t>Control FCR</t>
  </si>
  <si>
    <t>Treatment FCR</t>
  </si>
  <si>
    <t>Dose (g/ton)</t>
  </si>
  <si>
    <t>Extra BW (kg)</t>
  </si>
  <si>
    <t>Additional Income (₹/bird)</t>
  </si>
  <si>
    <t>Control Feed (kg)</t>
  </si>
  <si>
    <t>Treatment Feed (kg)</t>
  </si>
  <si>
    <t>Feed Saved (kg)</t>
  </si>
  <si>
    <t>Feed Saving (₹/bird)</t>
  </si>
  <si>
    <t>Product Cost/Ton (₹)</t>
  </si>
  <si>
    <t>Total Benefit (₹/bird)</t>
  </si>
  <si>
    <t>Net Profit (₹/bird)</t>
  </si>
  <si>
    <t>ROI (Benefit:Cost)</t>
  </si>
  <si>
    <t>Product Price (₹/L)</t>
  </si>
  <si>
    <t>Medication Hours/Day</t>
  </si>
  <si>
    <t>Treatment Days</t>
  </si>
  <si>
    <t>Average Water Intake (L/bird/day)</t>
  </si>
  <si>
    <t>Dose (L water per 1 mL product)</t>
  </si>
  <si>
    <t>Formula/Result</t>
  </si>
  <si>
    <t>Water During Medication (L/bird)</t>
  </si>
  <si>
    <t>Product Used (mL/bird)</t>
  </si>
  <si>
    <t>Product Cost (₹/bird)</t>
  </si>
  <si>
    <t>CRDX-IR Price (₹/L)</t>
  </si>
  <si>
    <t>Dose (mL/1000 birds/day)</t>
  </si>
  <si>
    <t>Control Mortality (%)</t>
  </si>
  <si>
    <t>Mortality Reduction (%)</t>
  </si>
  <si>
    <t>Mortality Benefit (₹/bird)</t>
  </si>
  <si>
    <t>Extra Eggs</t>
  </si>
  <si>
    <t xml:space="preserve">Additional Egg Income </t>
  </si>
  <si>
    <t>Day</t>
  </si>
  <si>
    <t>₹</t>
  </si>
  <si>
    <t>Number</t>
  </si>
  <si>
    <t xml:space="preserve">Extra Eggs </t>
  </si>
  <si>
    <t>Indication</t>
  </si>
  <si>
    <t xml:space="preserve">Indication </t>
  </si>
  <si>
    <t xml:space="preserve">Cost Production </t>
  </si>
  <si>
    <t>duration</t>
  </si>
  <si>
    <t>Dose</t>
  </si>
  <si>
    <t>per day cost</t>
  </si>
  <si>
    <t xml:space="preserve">Product Cost - Average costing </t>
  </si>
  <si>
    <t>Production cost</t>
  </si>
  <si>
    <t>HDP</t>
  </si>
  <si>
    <t>Data</t>
  </si>
  <si>
    <t>feed cosume</t>
  </si>
  <si>
    <t>ALL DATA</t>
  </si>
  <si>
    <t>Treatment BW(kg)</t>
  </si>
  <si>
    <t xml:space="preserve">Prevention of Respiratory Problem </t>
  </si>
  <si>
    <t>Treatment  Mortality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</si>
</sst>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7A1F"/>
      </patternFill>
    </fill>
    <fill>
      <patternFill patternType="solid">
        <fgColor rgb="FF1F4E78"/>
      </patternFill>
    </fill>
    <fill>
      <patternFill patternType="solid">
        <fgColor rgb="FFD9A40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4472C4"/>
        <bgColor indexed="64"/>
      </patternFill>
    </fill>
    <fill>
      <patternFill patternType="solid">
        <fgColor rgb="FFCFD5E9"/>
        <bgColor indexed="64"/>
      </patternFill>
    </fill>
    <fill>
      <patternFill patternType="solid">
        <fgColor rgb="FFE8EB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59D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5" borderId="0" xfId="0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4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6" fillId="8" borderId="2" xfId="0" applyFont="1" applyFill="1" applyBorder="1" applyAlignment="1">
      <alignment vertical="center" wrapText="1"/>
    </xf>
    <xf numFmtId="0" fontId="6" fillId="8" borderId="3" xfId="0" applyFont="1" applyFill="1" applyBorder="1" applyAlignment="1">
      <alignment vertical="center" wrapText="1"/>
    </xf>
    <xf numFmtId="0" fontId="7" fillId="9" borderId="4" xfId="0" applyFont="1" applyFill="1" applyBorder="1" applyAlignment="1">
      <alignment vertical="center" wrapText="1"/>
    </xf>
    <xf numFmtId="0" fontId="7" fillId="9" borderId="5" xfId="0" applyFont="1" applyFill="1" applyBorder="1" applyAlignment="1">
      <alignment vertical="center" wrapText="1"/>
    </xf>
    <xf numFmtId="0" fontId="5" fillId="9" borderId="5" xfId="0" applyFont="1" applyFill="1" applyBorder="1" applyAlignment="1">
      <alignment vertical="top" wrapText="1"/>
    </xf>
    <xf numFmtId="0" fontId="7" fillId="10" borderId="4" xfId="0" applyFont="1" applyFill="1" applyBorder="1" applyAlignment="1">
      <alignment vertical="center" wrapText="1"/>
    </xf>
    <xf numFmtId="0" fontId="7" fillId="10" borderId="5" xfId="0" applyFont="1" applyFill="1" applyBorder="1" applyAlignment="1">
      <alignment vertical="center" wrapText="1"/>
    </xf>
    <xf numFmtId="0" fontId="5" fillId="10" borderId="5" xfId="0" applyFont="1" applyFill="1" applyBorder="1" applyAlignment="1">
      <alignment vertical="top" wrapText="1"/>
    </xf>
    <xf numFmtId="0" fontId="6" fillId="10" borderId="4" xfId="0" applyFont="1" applyFill="1" applyBorder="1" applyAlignment="1">
      <alignment vertical="center" wrapText="1"/>
    </xf>
    <xf numFmtId="20" fontId="6" fillId="10" borderId="5" xfId="0" applyNumberFormat="1" applyFont="1" applyFill="1" applyBorder="1" applyAlignment="1">
      <alignment vertical="center" wrapText="1"/>
    </xf>
    <xf numFmtId="0" fontId="6" fillId="10" borderId="5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2" fontId="0" fillId="11" borderId="1" xfId="0" applyNumberFormat="1" applyFill="1" applyBorder="1" applyAlignment="1">
      <alignment horizontal="left"/>
    </xf>
    <xf numFmtId="1" fontId="0" fillId="11" borderId="1" xfId="0" applyNumberFormat="1" applyFill="1" applyBorder="1" applyAlignment="1">
      <alignment horizontal="left"/>
    </xf>
    <xf numFmtId="0" fontId="0" fillId="11" borderId="1" xfId="0" applyFill="1" applyBorder="1"/>
    <xf numFmtId="0" fontId="10" fillId="0" borderId="0" xfId="0" applyFont="1"/>
    <xf numFmtId="0" fontId="0" fillId="12" borderId="0" xfId="0" applyFill="1"/>
    <xf numFmtId="0" fontId="11" fillId="0" borderId="0" xfId="0" applyFont="1"/>
    <xf numFmtId="2" fontId="0" fillId="11" borderId="1" xfId="0" applyNumberFormat="1" applyFill="1" applyBorder="1"/>
    <xf numFmtId="0" fontId="11" fillId="0" borderId="1" xfId="0" applyFont="1" applyBorder="1"/>
    <xf numFmtId="0" fontId="10" fillId="0" borderId="1" xfId="0" applyFont="1" applyBorder="1"/>
    <xf numFmtId="0" fontId="9" fillId="6" borderId="1" xfId="0" applyFont="1" applyFill="1" applyBorder="1"/>
    <xf numFmtId="0" fontId="9" fillId="0" borderId="1" xfId="0" applyFont="1" applyBorder="1"/>
    <xf numFmtId="0" fontId="0" fillId="13" borderId="1" xfId="0" applyFill="1" applyBorder="1"/>
    <xf numFmtId="2" fontId="0" fillId="11" borderId="0" xfId="0" applyNumberFormat="1" applyFill="1"/>
    <xf numFmtId="0" fontId="0" fillId="0" borderId="0" xfId="0" applyAlignment="1">
      <alignment horizontal="center"/>
    </xf>
    <xf numFmtId="0" fontId="0" fillId="11" borderId="1" xfId="0" applyFill="1" applyBorder="1" applyAlignment="1">
      <alignment horizontal="left"/>
    </xf>
    <xf numFmtId="0" fontId="1" fillId="2" borderId="0" xfId="0" applyFont="1" applyFill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zoomScale="92" zoomScaleNormal="130" workbookViewId="0">
      <selection activeCell="B25" sqref="B25"/>
    </sheetView>
  </sheetViews>
  <sheetFormatPr defaultRowHeight="14.4" x14ac:dyDescent="0.3"/>
  <cols>
    <col min="1" max="1" width="30" customWidth="1"/>
    <col min="2" max="2" width="23.6640625" customWidth="1"/>
    <col min="4" max="4" width="9" bestFit="1" customWidth="1"/>
  </cols>
  <sheetData>
    <row r="1" spans="1:4" ht="18" x14ac:dyDescent="0.35">
      <c r="A1" s="43" t="s">
        <v>0</v>
      </c>
      <c r="B1" s="44"/>
    </row>
    <row r="2" spans="1:4" x14ac:dyDescent="0.3">
      <c r="A2" s="1"/>
      <c r="B2" s="1"/>
    </row>
    <row r="3" spans="1:4" ht="15.6" x14ac:dyDescent="0.3">
      <c r="A3" s="9" t="s">
        <v>1</v>
      </c>
      <c r="B3" s="9" t="s">
        <v>34</v>
      </c>
    </row>
    <row r="4" spans="1:4" x14ac:dyDescent="0.3">
      <c r="A4" s="4" t="s">
        <v>2</v>
      </c>
      <c r="B4" s="8">
        <v>10000</v>
      </c>
    </row>
    <row r="5" spans="1:4" x14ac:dyDescent="0.3">
      <c r="A5" s="4" t="s">
        <v>3</v>
      </c>
      <c r="B5" s="8">
        <v>0.03</v>
      </c>
    </row>
    <row r="6" spans="1:4" x14ac:dyDescent="0.3">
      <c r="A6" s="4" t="s">
        <v>4</v>
      </c>
      <c r="B6" s="8">
        <v>7</v>
      </c>
    </row>
    <row r="7" spans="1:4" x14ac:dyDescent="0.3">
      <c r="A7" s="4" t="s">
        <v>5</v>
      </c>
      <c r="B7" s="8">
        <v>100</v>
      </c>
    </row>
    <row r="8" spans="1:4" x14ac:dyDescent="0.3">
      <c r="A8" s="4" t="s">
        <v>6</v>
      </c>
      <c r="B8" s="8">
        <v>30</v>
      </c>
    </row>
    <row r="9" spans="1:4" x14ac:dyDescent="0.3">
      <c r="A9" s="4" t="s">
        <v>7</v>
      </c>
      <c r="B9" s="8">
        <v>0.25</v>
      </c>
      <c r="D9" t="s">
        <v>176</v>
      </c>
    </row>
    <row r="10" spans="1:4" x14ac:dyDescent="0.3">
      <c r="A10" s="4" t="s">
        <v>8</v>
      </c>
      <c r="B10" s="8">
        <v>2.2000000000000002</v>
      </c>
    </row>
    <row r="11" spans="1:4" ht="15.6" x14ac:dyDescent="0.3">
      <c r="A11" s="10" t="s">
        <v>9</v>
      </c>
      <c r="B11" s="4"/>
    </row>
    <row r="12" spans="1:4" x14ac:dyDescent="0.3">
      <c r="A12" s="4" t="s">
        <v>10</v>
      </c>
      <c r="B12" s="4">
        <f>B4*B5*B6</f>
        <v>2100</v>
      </c>
    </row>
    <row r="13" spans="1:4" x14ac:dyDescent="0.3">
      <c r="A13" s="4" t="s">
        <v>11</v>
      </c>
      <c r="B13" s="4">
        <f>B4*B8/1000</f>
        <v>300</v>
      </c>
    </row>
    <row r="14" spans="1:4" x14ac:dyDescent="0.3">
      <c r="A14" s="4" t="s">
        <v>12</v>
      </c>
      <c r="B14" s="4">
        <f>B13*B7</f>
        <v>30000</v>
      </c>
    </row>
    <row r="15" spans="1:4" x14ac:dyDescent="0.3">
      <c r="A15" s="4" t="s">
        <v>13</v>
      </c>
      <c r="B15" s="4">
        <f>B4*(B9/100)</f>
        <v>25</v>
      </c>
    </row>
    <row r="16" spans="1:4" x14ac:dyDescent="0.3">
      <c r="A16" s="4" t="s">
        <v>14</v>
      </c>
      <c r="B16" s="4">
        <f>B15*B10*B7</f>
        <v>5500.0000000000009</v>
      </c>
    </row>
    <row r="17" spans="1:2" x14ac:dyDescent="0.3">
      <c r="A17" s="4" t="s">
        <v>15</v>
      </c>
      <c r="B17" s="4">
        <f>B16+B14</f>
        <v>35500</v>
      </c>
    </row>
    <row r="18" spans="1:2" x14ac:dyDescent="0.3">
      <c r="A18" s="4" t="s">
        <v>16</v>
      </c>
      <c r="B18" s="4">
        <f>B17-B12</f>
        <v>33400</v>
      </c>
    </row>
    <row r="19" spans="1:2" x14ac:dyDescent="0.3">
      <c r="A19" s="4" t="s">
        <v>17</v>
      </c>
      <c r="B19" s="26">
        <f>B17/B12</f>
        <v>16.904761904761905</v>
      </c>
    </row>
    <row r="20" spans="1:2" x14ac:dyDescent="0.3">
      <c r="A20" s="1"/>
      <c r="B20" s="1"/>
    </row>
    <row r="21" spans="1:2" x14ac:dyDescent="0.3">
      <c r="A21" s="45" t="s">
        <v>18</v>
      </c>
      <c r="B21" s="44"/>
    </row>
    <row r="22" spans="1:2" x14ac:dyDescent="0.3">
      <c r="A22" s="44"/>
      <c r="B22" s="44"/>
    </row>
    <row r="23" spans="1:2" x14ac:dyDescent="0.3">
      <c r="A23" s="44"/>
      <c r="B23" s="44"/>
    </row>
    <row r="25" spans="1:2" x14ac:dyDescent="0.3">
      <c r="A25" s="2"/>
    </row>
  </sheetData>
  <mergeCells count="2">
    <mergeCell ref="A1:B1"/>
    <mergeCell ref="A21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CAC8-CD36-4ECF-A77F-54C58EC7BAE9}">
  <dimension ref="A1:C27"/>
  <sheetViews>
    <sheetView zoomScale="93" zoomScaleNormal="160" workbookViewId="0">
      <selection activeCell="C9" sqref="C9"/>
    </sheetView>
  </sheetViews>
  <sheetFormatPr defaultRowHeight="14.4" x14ac:dyDescent="0.3"/>
  <cols>
    <col min="1" max="1" width="36.44140625" customWidth="1"/>
    <col min="2" max="2" width="19.5546875" customWidth="1"/>
    <col min="3" max="3" width="11.5546875" bestFit="1" customWidth="1"/>
  </cols>
  <sheetData>
    <row r="1" spans="1:3" ht="18" x14ac:dyDescent="0.35">
      <c r="A1" s="41" t="s">
        <v>20</v>
      </c>
      <c r="B1" s="42"/>
    </row>
    <row r="3" spans="1:3" x14ac:dyDescent="0.3">
      <c r="A3" s="3" t="s">
        <v>1</v>
      </c>
      <c r="B3" s="3" t="s">
        <v>31</v>
      </c>
    </row>
    <row r="4" spans="1:3" x14ac:dyDescent="0.3">
      <c r="A4" s="4" t="s">
        <v>21</v>
      </c>
      <c r="B4" s="8">
        <v>10000</v>
      </c>
      <c r="C4" t="s">
        <v>174</v>
      </c>
    </row>
    <row r="5" spans="1:3" x14ac:dyDescent="0.3">
      <c r="A5" s="4" t="s">
        <v>22</v>
      </c>
      <c r="B5" s="8">
        <v>2.2999999999999998</v>
      </c>
      <c r="C5" t="s">
        <v>175</v>
      </c>
    </row>
    <row r="6" spans="1:3" x14ac:dyDescent="0.3">
      <c r="A6" s="4" t="s">
        <v>23</v>
      </c>
      <c r="B6" s="8">
        <v>1.45</v>
      </c>
    </row>
    <row r="7" spans="1:3" x14ac:dyDescent="0.3">
      <c r="A7" s="4" t="s">
        <v>24</v>
      </c>
      <c r="B7" s="40">
        <v>250</v>
      </c>
      <c r="C7" s="39"/>
    </row>
    <row r="8" spans="1:3" x14ac:dyDescent="0.3">
      <c r="A8" s="4" t="s">
        <v>25</v>
      </c>
      <c r="B8" s="8">
        <v>600</v>
      </c>
    </row>
    <row r="9" spans="1:3" x14ac:dyDescent="0.3">
      <c r="A9" s="4" t="s">
        <v>5</v>
      </c>
      <c r="B9" s="8">
        <v>100</v>
      </c>
    </row>
    <row r="10" spans="1:3" x14ac:dyDescent="0.3">
      <c r="A10" s="4" t="s">
        <v>26</v>
      </c>
      <c r="B10" s="8">
        <v>50</v>
      </c>
    </row>
    <row r="11" spans="1:3" x14ac:dyDescent="0.3">
      <c r="A11" s="4" t="s">
        <v>7</v>
      </c>
      <c r="B11" s="8">
        <v>0.25</v>
      </c>
    </row>
    <row r="12" spans="1:3" x14ac:dyDescent="0.3">
      <c r="A12" s="4" t="s">
        <v>27</v>
      </c>
      <c r="B12" s="8">
        <v>2.2999999999999998</v>
      </c>
    </row>
    <row r="13" spans="1:3" x14ac:dyDescent="0.3">
      <c r="A13" s="7" t="s">
        <v>9</v>
      </c>
      <c r="B13" s="4"/>
    </row>
    <row r="14" spans="1:3" x14ac:dyDescent="0.3">
      <c r="A14" s="4" t="s">
        <v>28</v>
      </c>
      <c r="B14" s="4">
        <f>B5*B6*B4</f>
        <v>33349.999999999993</v>
      </c>
    </row>
    <row r="15" spans="1:3" x14ac:dyDescent="0.3">
      <c r="A15" s="4" t="s">
        <v>29</v>
      </c>
      <c r="B15" s="5">
        <f>B14*B7/1000000</f>
        <v>8.3374999999999986</v>
      </c>
    </row>
    <row r="16" spans="1:3" x14ac:dyDescent="0.3">
      <c r="A16" s="4" t="s">
        <v>10</v>
      </c>
      <c r="B16" s="4">
        <f>B15*B8</f>
        <v>5002.4999999999991</v>
      </c>
    </row>
    <row r="17" spans="1:2" x14ac:dyDescent="0.3">
      <c r="A17" s="4" t="s">
        <v>11</v>
      </c>
      <c r="B17" s="4">
        <f>B4*B10/1000</f>
        <v>500</v>
      </c>
    </row>
    <row r="18" spans="1:2" x14ac:dyDescent="0.3">
      <c r="A18" s="4" t="s">
        <v>12</v>
      </c>
      <c r="B18" s="4">
        <f>B17*B9</f>
        <v>50000</v>
      </c>
    </row>
    <row r="19" spans="1:2" x14ac:dyDescent="0.3">
      <c r="A19" s="4" t="s">
        <v>13</v>
      </c>
      <c r="B19" s="4">
        <f>B4*(B11/100)</f>
        <v>25</v>
      </c>
    </row>
    <row r="20" spans="1:2" x14ac:dyDescent="0.3">
      <c r="A20" s="4" t="s">
        <v>30</v>
      </c>
      <c r="B20" s="6">
        <f>B19*B12*B9</f>
        <v>5749.9999999999991</v>
      </c>
    </row>
    <row r="21" spans="1:2" x14ac:dyDescent="0.3">
      <c r="A21" s="4" t="s">
        <v>15</v>
      </c>
      <c r="B21" s="6">
        <f>B18+B20</f>
        <v>55750</v>
      </c>
    </row>
    <row r="22" spans="1:2" x14ac:dyDescent="0.3">
      <c r="A22" s="4" t="s">
        <v>16</v>
      </c>
      <c r="B22" s="6">
        <f>B21-B16</f>
        <v>50747.5</v>
      </c>
    </row>
    <row r="23" spans="1:2" x14ac:dyDescent="0.3">
      <c r="A23" s="4" t="s">
        <v>17</v>
      </c>
      <c r="B23" s="27">
        <f>B21/B16</f>
        <v>11.144427786106949</v>
      </c>
    </row>
    <row r="24" spans="1:2" x14ac:dyDescent="0.3">
      <c r="A24" s="4" t="s">
        <v>32</v>
      </c>
      <c r="B24" s="5">
        <f>B16/B4</f>
        <v>0.50024999999999986</v>
      </c>
    </row>
    <row r="25" spans="1:2" x14ac:dyDescent="0.3">
      <c r="A25" s="4" t="s">
        <v>33</v>
      </c>
      <c r="B25" s="5">
        <f>B21/B16</f>
        <v>11.144427786106949</v>
      </c>
    </row>
    <row r="27" spans="1:2" x14ac:dyDescent="0.3">
      <c r="A27" s="2"/>
      <c r="B27" t="s">
        <v>19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16AC-0052-4524-900F-C1CB8DA22E16}">
  <sheetPr>
    <tabColor rgb="FFFFFF00"/>
  </sheetPr>
  <dimension ref="A1:D21"/>
  <sheetViews>
    <sheetView zoomScale="130" zoomScaleNormal="130" workbookViewId="0">
      <selection activeCell="B9" sqref="B9"/>
    </sheetView>
  </sheetViews>
  <sheetFormatPr defaultRowHeight="14.4" x14ac:dyDescent="0.3"/>
  <cols>
    <col min="1" max="1" width="23.5546875" bestFit="1" customWidth="1"/>
    <col min="2" max="2" width="12" bestFit="1" customWidth="1"/>
    <col min="3" max="3" width="13.6640625" bestFit="1" customWidth="1"/>
  </cols>
  <sheetData>
    <row r="1" spans="1:4" x14ac:dyDescent="0.3">
      <c r="A1" s="11" t="s">
        <v>173</v>
      </c>
      <c r="B1" s="11" t="s">
        <v>36</v>
      </c>
      <c r="C1" s="11" t="s">
        <v>105</v>
      </c>
    </row>
    <row r="2" spans="1:4" x14ac:dyDescent="0.3">
      <c r="A2" s="1" t="s">
        <v>2</v>
      </c>
      <c r="B2" s="12">
        <v>10000</v>
      </c>
      <c r="C2" s="1" t="s">
        <v>106</v>
      </c>
    </row>
    <row r="3" spans="1:4" x14ac:dyDescent="0.3">
      <c r="A3" s="1" t="s">
        <v>107</v>
      </c>
      <c r="B3" s="12">
        <v>266</v>
      </c>
      <c r="C3" s="1" t="s">
        <v>40</v>
      </c>
    </row>
    <row r="4" spans="1:4" x14ac:dyDescent="0.3">
      <c r="A4" s="1" t="s">
        <v>108</v>
      </c>
      <c r="B4" s="12">
        <v>89.19</v>
      </c>
      <c r="C4" s="1" t="s">
        <v>58</v>
      </c>
      <c r="D4" t="s">
        <v>173</v>
      </c>
    </row>
    <row r="5" spans="1:4" x14ac:dyDescent="0.3">
      <c r="A5" s="1" t="s">
        <v>109</v>
      </c>
      <c r="B5" s="12">
        <v>91.66</v>
      </c>
      <c r="C5" s="1" t="s">
        <v>58</v>
      </c>
      <c r="D5" t="s">
        <v>173</v>
      </c>
    </row>
    <row r="6" spans="1:4" x14ac:dyDescent="0.3">
      <c r="A6" s="1" t="s">
        <v>110</v>
      </c>
      <c r="B6" s="12">
        <v>5.6</v>
      </c>
      <c r="C6" s="1" t="s">
        <v>111</v>
      </c>
    </row>
    <row r="7" spans="1:4" x14ac:dyDescent="0.3">
      <c r="A7" s="1" t="s">
        <v>48</v>
      </c>
      <c r="B7" s="12">
        <v>1.52E-2</v>
      </c>
      <c r="C7" s="1" t="s">
        <v>112</v>
      </c>
    </row>
    <row r="8" spans="1:4" x14ac:dyDescent="0.3">
      <c r="A8" s="1" t="s">
        <v>113</v>
      </c>
      <c r="B8" s="12">
        <v>0.75</v>
      </c>
      <c r="C8" s="1" t="s">
        <v>114</v>
      </c>
    </row>
    <row r="9" spans="1:4" x14ac:dyDescent="0.3">
      <c r="A9" s="1" t="s">
        <v>115</v>
      </c>
      <c r="B9" s="12">
        <v>350</v>
      </c>
      <c r="C9" s="1" t="s">
        <v>116</v>
      </c>
    </row>
    <row r="10" spans="1:4" x14ac:dyDescent="0.3">
      <c r="A10" s="1"/>
      <c r="B10" s="1"/>
      <c r="C10" s="1"/>
    </row>
    <row r="11" spans="1:4" x14ac:dyDescent="0.3">
      <c r="A11" s="13" t="s">
        <v>117</v>
      </c>
      <c r="B11" s="1"/>
      <c r="C11" s="1"/>
    </row>
    <row r="12" spans="1:4" x14ac:dyDescent="0.3">
      <c r="A12" s="1" t="s">
        <v>123</v>
      </c>
      <c r="B12" s="1">
        <f>B5-B4</f>
        <v>2.4699999999999989</v>
      </c>
      <c r="C12" s="1" t="s">
        <v>58</v>
      </c>
    </row>
    <row r="13" spans="1:4" x14ac:dyDescent="0.3">
      <c r="A13" s="1" t="s">
        <v>159</v>
      </c>
      <c r="B13" s="1">
        <f>B2*(B12/100)</f>
        <v>246.99999999999989</v>
      </c>
      <c r="C13" s="1" t="s">
        <v>161</v>
      </c>
    </row>
    <row r="14" spans="1:4" x14ac:dyDescent="0.3">
      <c r="A14" s="1" t="s">
        <v>164</v>
      </c>
      <c r="B14" s="1">
        <f>B13*B3</f>
        <v>65701.999999999971</v>
      </c>
      <c r="C14" s="1" t="s">
        <v>163</v>
      </c>
    </row>
    <row r="15" spans="1:4" x14ac:dyDescent="0.3">
      <c r="A15" s="1" t="s">
        <v>160</v>
      </c>
      <c r="B15" s="1">
        <f>B14*B6</f>
        <v>367931.19999999984</v>
      </c>
      <c r="C15" s="1" t="s">
        <v>162</v>
      </c>
    </row>
    <row r="16" spans="1:4" x14ac:dyDescent="0.3">
      <c r="A16" s="1" t="s">
        <v>118</v>
      </c>
      <c r="B16" s="1">
        <f>B7*B3</f>
        <v>4.0431999999999997</v>
      </c>
      <c r="C16" s="1" t="s">
        <v>162</v>
      </c>
    </row>
    <row r="17" spans="1:3" x14ac:dyDescent="0.3">
      <c r="A17" s="1" t="s">
        <v>119</v>
      </c>
      <c r="B17" s="1">
        <f>B16*B2</f>
        <v>40432</v>
      </c>
      <c r="C17" s="1" t="s">
        <v>162</v>
      </c>
    </row>
    <row r="18" spans="1:3" x14ac:dyDescent="0.3">
      <c r="A18" s="1" t="s">
        <v>120</v>
      </c>
      <c r="B18" s="1">
        <f>(B8/100)*B2*B9</f>
        <v>26250</v>
      </c>
      <c r="C18" s="1" t="s">
        <v>162</v>
      </c>
    </row>
    <row r="19" spans="1:3" x14ac:dyDescent="0.3">
      <c r="A19" s="1" t="s">
        <v>121</v>
      </c>
      <c r="B19" s="1">
        <f>B15+B18</f>
        <v>394181.19999999984</v>
      </c>
      <c r="C19" s="1" t="s">
        <v>162</v>
      </c>
    </row>
    <row r="20" spans="1:3" x14ac:dyDescent="0.3">
      <c r="A20" s="1" t="s">
        <v>122</v>
      </c>
      <c r="B20" s="1">
        <f>B19-B17</f>
        <v>353749.19999999984</v>
      </c>
      <c r="C20" s="1" t="s">
        <v>162</v>
      </c>
    </row>
    <row r="21" spans="1:3" x14ac:dyDescent="0.3">
      <c r="A21" s="1" t="s">
        <v>54</v>
      </c>
      <c r="B21" s="32">
        <f>B20/B17</f>
        <v>8.7492382271468099</v>
      </c>
      <c r="C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FB76-02A5-4CB5-ABC8-5855DB34FDAD}">
  <sheetPr>
    <tabColor theme="9" tint="0.39997558519241921"/>
  </sheetPr>
  <dimension ref="A1:D21"/>
  <sheetViews>
    <sheetView topLeftCell="A2" zoomScale="130" zoomScaleNormal="130" workbookViewId="0">
      <selection activeCell="D2" sqref="D2"/>
    </sheetView>
  </sheetViews>
  <sheetFormatPr defaultRowHeight="14.4" x14ac:dyDescent="0.3"/>
  <cols>
    <col min="1" max="1" width="27" bestFit="1" customWidth="1"/>
    <col min="2" max="2" width="10.77734375" customWidth="1"/>
    <col min="3" max="3" width="12.77734375" bestFit="1" customWidth="1"/>
    <col min="4" max="5" width="6.44140625" customWidth="1"/>
  </cols>
  <sheetData>
    <row r="1" spans="1:4" x14ac:dyDescent="0.3">
      <c r="A1" s="11" t="s">
        <v>35</v>
      </c>
      <c r="B1" s="11" t="s">
        <v>36</v>
      </c>
      <c r="C1" s="11" t="s">
        <v>55</v>
      </c>
    </row>
    <row r="2" spans="1:4" x14ac:dyDescent="0.3">
      <c r="A2" s="1" t="s">
        <v>37</v>
      </c>
      <c r="B2" s="12">
        <v>1.52</v>
      </c>
      <c r="C2" s="1" t="s">
        <v>38</v>
      </c>
      <c r="D2" t="s">
        <v>169</v>
      </c>
    </row>
    <row r="3" spans="1:4" x14ac:dyDescent="0.3">
      <c r="A3" s="1" t="s">
        <v>39</v>
      </c>
      <c r="B3" s="12">
        <v>35</v>
      </c>
      <c r="C3" s="1" t="s">
        <v>40</v>
      </c>
    </row>
    <row r="4" spans="1:4" x14ac:dyDescent="0.3">
      <c r="A4" s="1" t="s">
        <v>41</v>
      </c>
      <c r="B4" s="12">
        <v>2.0499999999999998</v>
      </c>
      <c r="C4" s="1" t="s">
        <v>42</v>
      </c>
    </row>
    <row r="5" spans="1:4" x14ac:dyDescent="0.3">
      <c r="A5" s="1" t="s">
        <v>43</v>
      </c>
      <c r="B5" s="12">
        <v>2.15</v>
      </c>
      <c r="C5" s="1" t="s">
        <v>42</v>
      </c>
    </row>
    <row r="6" spans="1:4" x14ac:dyDescent="0.3">
      <c r="A6" s="1" t="s">
        <v>44</v>
      </c>
      <c r="B6" s="12">
        <v>100</v>
      </c>
      <c r="C6" s="1" t="s">
        <v>56</v>
      </c>
    </row>
    <row r="7" spans="1:4" x14ac:dyDescent="0.3">
      <c r="A7" s="1" t="s">
        <v>57</v>
      </c>
      <c r="B7" s="12">
        <v>5</v>
      </c>
      <c r="C7" s="1" t="s">
        <v>58</v>
      </c>
    </row>
    <row r="8" spans="1:4" x14ac:dyDescent="0.3">
      <c r="A8" s="1" t="s">
        <v>59</v>
      </c>
      <c r="B8" s="12">
        <v>4</v>
      </c>
      <c r="C8" s="1" t="s">
        <v>58</v>
      </c>
      <c r="D8" t="s">
        <v>172</v>
      </c>
    </row>
    <row r="9" spans="1:4" x14ac:dyDescent="0.3">
      <c r="A9" s="1"/>
      <c r="B9" s="1"/>
      <c r="C9" s="1"/>
    </row>
    <row r="10" spans="1:4" x14ac:dyDescent="0.3">
      <c r="A10" s="1"/>
      <c r="B10" s="1"/>
      <c r="C10" s="1"/>
    </row>
    <row r="11" spans="1:4" x14ac:dyDescent="0.3">
      <c r="A11" s="13" t="s">
        <v>45</v>
      </c>
      <c r="B11" s="1"/>
      <c r="C11" s="1"/>
    </row>
    <row r="12" spans="1:4" x14ac:dyDescent="0.3">
      <c r="A12" s="1" t="s">
        <v>46</v>
      </c>
      <c r="B12" s="1">
        <f>B5-B4</f>
        <v>0.10000000000000009</v>
      </c>
      <c r="C12" s="1" t="s">
        <v>47</v>
      </c>
    </row>
    <row r="13" spans="1:4" x14ac:dyDescent="0.3">
      <c r="A13" s="1" t="s">
        <v>171</v>
      </c>
      <c r="B13" s="1">
        <f>(B2*B3)/100</f>
        <v>0.53200000000000003</v>
      </c>
      <c r="C13" s="1" t="s">
        <v>49</v>
      </c>
      <c r="D13" t="s">
        <v>170</v>
      </c>
    </row>
    <row r="14" spans="1:4" x14ac:dyDescent="0.3">
      <c r="A14" s="1" t="s">
        <v>51</v>
      </c>
      <c r="B14" s="1">
        <f>B12*B6</f>
        <v>10.000000000000009</v>
      </c>
      <c r="C14" s="1" t="s">
        <v>50</v>
      </c>
    </row>
    <row r="15" spans="1:4" x14ac:dyDescent="0.3">
      <c r="A15" s="1" t="s">
        <v>124</v>
      </c>
      <c r="B15" s="1">
        <f>B7-B8</f>
        <v>1</v>
      </c>
      <c r="C15" s="1" t="s">
        <v>52</v>
      </c>
    </row>
    <row r="16" spans="1:4" x14ac:dyDescent="0.3">
      <c r="A16" s="1" t="s">
        <v>125</v>
      </c>
      <c r="B16" s="1">
        <f>(B15/100)*B5*B6</f>
        <v>2.15</v>
      </c>
      <c r="C16" s="1" t="s">
        <v>52</v>
      </c>
    </row>
    <row r="17" spans="1:3" x14ac:dyDescent="0.3">
      <c r="A17" s="1" t="s">
        <v>126</v>
      </c>
      <c r="B17" s="1">
        <f>B14+B16</f>
        <v>12.150000000000009</v>
      </c>
      <c r="C17" s="1" t="s">
        <v>52</v>
      </c>
    </row>
    <row r="18" spans="1:3" x14ac:dyDescent="0.3">
      <c r="A18" s="1" t="s">
        <v>53</v>
      </c>
      <c r="B18" s="1">
        <f>B17-B13</f>
        <v>11.618000000000009</v>
      </c>
      <c r="C18" s="1" t="s">
        <v>52</v>
      </c>
    </row>
    <row r="19" spans="1:3" x14ac:dyDescent="0.3">
      <c r="A19" s="1" t="s">
        <v>54</v>
      </c>
      <c r="B19" s="28">
        <f>B18/B13</f>
        <v>21.838345864661669</v>
      </c>
      <c r="C19" s="1"/>
    </row>
    <row r="21" spans="1:3" x14ac:dyDescent="0.3">
      <c r="A21" t="s">
        <v>60</v>
      </c>
      <c r="B21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FE41-E9EE-4AE6-8C62-F3A72123B226}">
  <dimension ref="A2:E21"/>
  <sheetViews>
    <sheetView tabSelected="1" workbookViewId="0">
      <selection activeCell="D12" sqref="D12"/>
    </sheetView>
  </sheetViews>
  <sheetFormatPr defaultRowHeight="14.4" x14ac:dyDescent="0.3"/>
  <cols>
    <col min="1" max="1" width="23.77734375" bestFit="1" customWidth="1"/>
    <col min="2" max="2" width="12" bestFit="1" customWidth="1"/>
    <col min="5" max="5" width="23.77734375" bestFit="1" customWidth="1"/>
  </cols>
  <sheetData>
    <row r="2" spans="1:5" x14ac:dyDescent="0.3">
      <c r="A2" s="29" t="s">
        <v>127</v>
      </c>
      <c r="B2" s="30">
        <v>100</v>
      </c>
      <c r="E2" s="29"/>
    </row>
    <row r="3" spans="1:5" x14ac:dyDescent="0.3">
      <c r="A3" s="29" t="s">
        <v>128</v>
      </c>
      <c r="B3" s="30">
        <v>40</v>
      </c>
      <c r="E3" s="29"/>
    </row>
    <row r="4" spans="1:5" x14ac:dyDescent="0.3">
      <c r="A4" s="29" t="s">
        <v>129</v>
      </c>
      <c r="B4" s="30">
        <v>750</v>
      </c>
      <c r="E4" s="29"/>
    </row>
    <row r="5" spans="1:5" x14ac:dyDescent="0.3">
      <c r="A5" s="29" t="s">
        <v>130</v>
      </c>
      <c r="B5" s="30">
        <v>1.911</v>
      </c>
      <c r="E5" s="29"/>
    </row>
    <row r="6" spans="1:5" x14ac:dyDescent="0.3">
      <c r="A6" s="29" t="s">
        <v>131</v>
      </c>
      <c r="B6" s="30">
        <v>1.9750000000000001</v>
      </c>
      <c r="E6" s="29"/>
    </row>
    <row r="7" spans="1:5" x14ac:dyDescent="0.3">
      <c r="A7" s="29" t="s">
        <v>132</v>
      </c>
      <c r="B7" s="30">
        <v>1.6259999999999999</v>
      </c>
      <c r="E7" s="29"/>
    </row>
    <row r="8" spans="1:5" x14ac:dyDescent="0.3">
      <c r="A8" s="29" t="s">
        <v>133</v>
      </c>
      <c r="B8" s="30">
        <v>1.5640000000000001</v>
      </c>
      <c r="E8" s="29"/>
    </row>
    <row r="9" spans="1:5" x14ac:dyDescent="0.3">
      <c r="A9" s="29" t="s">
        <v>134</v>
      </c>
      <c r="B9" s="30">
        <v>150</v>
      </c>
      <c r="C9" t="s">
        <v>168</v>
      </c>
      <c r="E9" s="29"/>
    </row>
    <row r="11" spans="1:5" x14ac:dyDescent="0.3">
      <c r="A11" s="29" t="s">
        <v>135</v>
      </c>
      <c r="B11">
        <f>B6-B5</f>
        <v>6.4000000000000057E-2</v>
      </c>
      <c r="E11" s="29"/>
    </row>
    <row r="12" spans="1:5" x14ac:dyDescent="0.3">
      <c r="A12" s="29" t="s">
        <v>136</v>
      </c>
      <c r="B12">
        <f>B11*B2</f>
        <v>6.4000000000000057</v>
      </c>
      <c r="E12" s="29"/>
    </row>
    <row r="13" spans="1:5" x14ac:dyDescent="0.3">
      <c r="A13" s="29" t="s">
        <v>137</v>
      </c>
      <c r="B13">
        <f>B5*B7</f>
        <v>3.1072859999999998</v>
      </c>
      <c r="E13" s="29"/>
    </row>
    <row r="14" spans="1:5" x14ac:dyDescent="0.3">
      <c r="A14" s="29" t="s">
        <v>138</v>
      </c>
      <c r="B14">
        <f>B6*B8</f>
        <v>3.0889000000000002</v>
      </c>
      <c r="E14" s="29"/>
    </row>
    <row r="15" spans="1:5" x14ac:dyDescent="0.3">
      <c r="A15" s="29" t="s">
        <v>139</v>
      </c>
      <c r="B15">
        <f>B13-B14</f>
        <v>1.8385999999999569E-2</v>
      </c>
      <c r="E15" s="29"/>
    </row>
    <row r="16" spans="1:5" x14ac:dyDescent="0.3">
      <c r="A16" s="29" t="s">
        <v>140</v>
      </c>
      <c r="B16">
        <f>B15*B3</f>
        <v>0.73543999999998277</v>
      </c>
      <c r="E16" s="29"/>
    </row>
    <row r="17" spans="1:5" x14ac:dyDescent="0.3">
      <c r="A17" s="29" t="s">
        <v>141</v>
      </c>
      <c r="B17">
        <f>(B9/1000)*B4</f>
        <v>112.5</v>
      </c>
      <c r="E17" s="29"/>
    </row>
    <row r="18" spans="1:5" x14ac:dyDescent="0.3">
      <c r="A18" s="29" t="s">
        <v>118</v>
      </c>
      <c r="B18">
        <f>(B14/1000)*B17</f>
        <v>0.34750125000000004</v>
      </c>
      <c r="E18" s="29"/>
    </row>
    <row r="19" spans="1:5" x14ac:dyDescent="0.3">
      <c r="A19" s="29" t="s">
        <v>142</v>
      </c>
      <c r="B19">
        <f>B12+B16</f>
        <v>7.1354399999999885</v>
      </c>
      <c r="E19" s="29"/>
    </row>
    <row r="20" spans="1:5" x14ac:dyDescent="0.3">
      <c r="A20" s="29" t="s">
        <v>143</v>
      </c>
      <c r="B20">
        <f>B19-B18</f>
        <v>6.7879387499999888</v>
      </c>
      <c r="E20" s="29"/>
    </row>
    <row r="21" spans="1:5" x14ac:dyDescent="0.3">
      <c r="A21" s="29" t="s">
        <v>144</v>
      </c>
      <c r="B21" s="38">
        <f>B20/B18</f>
        <v>19.533566426020016</v>
      </c>
      <c r="E21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DC5E-A5FA-4FEF-8100-B8912BEF7A5E}">
  <dimension ref="A1:C18"/>
  <sheetViews>
    <sheetView workbookViewId="0">
      <selection activeCell="B18" sqref="B18"/>
    </sheetView>
  </sheetViews>
  <sheetFormatPr defaultRowHeight="14.4" x14ac:dyDescent="0.3"/>
  <cols>
    <col min="1" max="1" width="29.109375" bestFit="1" customWidth="1"/>
    <col min="2" max="2" width="13.5546875" bestFit="1" customWidth="1"/>
    <col min="3" max="3" width="14.33203125" bestFit="1" customWidth="1"/>
  </cols>
  <sheetData>
    <row r="1" spans="1:3" x14ac:dyDescent="0.3">
      <c r="A1" s="35" t="s">
        <v>35</v>
      </c>
      <c r="B1" s="35" t="s">
        <v>36</v>
      </c>
    </row>
    <row r="2" spans="1:3" x14ac:dyDescent="0.3">
      <c r="A2" s="1" t="s">
        <v>127</v>
      </c>
      <c r="B2" s="12">
        <v>100</v>
      </c>
    </row>
    <row r="3" spans="1:3" x14ac:dyDescent="0.3">
      <c r="A3" s="1" t="s">
        <v>145</v>
      </c>
      <c r="B3" s="12">
        <v>1800</v>
      </c>
    </row>
    <row r="4" spans="1:3" x14ac:dyDescent="0.3">
      <c r="A4" s="1" t="s">
        <v>146</v>
      </c>
      <c r="B4" s="12">
        <v>12</v>
      </c>
    </row>
    <row r="5" spans="1:3" x14ac:dyDescent="0.3">
      <c r="A5" s="1" t="s">
        <v>147</v>
      </c>
      <c r="B5" s="12">
        <v>20</v>
      </c>
    </row>
    <row r="6" spans="1:3" x14ac:dyDescent="0.3">
      <c r="A6" s="1" t="s">
        <v>148</v>
      </c>
      <c r="B6" s="12">
        <v>0.2</v>
      </c>
    </row>
    <row r="7" spans="1:3" x14ac:dyDescent="0.3">
      <c r="A7" s="1" t="s">
        <v>149</v>
      </c>
      <c r="B7" s="12">
        <v>2</v>
      </c>
    </row>
    <row r="8" spans="1:3" x14ac:dyDescent="0.3">
      <c r="A8" s="1" t="s">
        <v>130</v>
      </c>
      <c r="B8" s="37">
        <v>2.181</v>
      </c>
      <c r="C8" s="31" t="s">
        <v>166</v>
      </c>
    </row>
    <row r="9" spans="1:3" x14ac:dyDescent="0.3">
      <c r="A9" s="1" t="s">
        <v>131</v>
      </c>
      <c r="B9" s="12">
        <v>2.2469999999999999</v>
      </c>
    </row>
    <row r="10" spans="1:3" x14ac:dyDescent="0.3">
      <c r="A10" s="1"/>
      <c r="B10" s="1"/>
    </row>
    <row r="11" spans="1:3" x14ac:dyDescent="0.3">
      <c r="A11" s="36" t="s">
        <v>45</v>
      </c>
      <c r="B11" s="1" t="s">
        <v>150</v>
      </c>
    </row>
    <row r="12" spans="1:3" x14ac:dyDescent="0.3">
      <c r="A12" s="1" t="s">
        <v>135</v>
      </c>
      <c r="B12" s="1">
        <v>0.44500000000000001</v>
      </c>
    </row>
    <row r="13" spans="1:3" x14ac:dyDescent="0.3">
      <c r="A13" s="1" t="s">
        <v>136</v>
      </c>
      <c r="B13" s="1">
        <v>44.5</v>
      </c>
    </row>
    <row r="14" spans="1:3" x14ac:dyDescent="0.3">
      <c r="A14" s="1" t="s">
        <v>151</v>
      </c>
      <c r="B14" s="1">
        <v>2</v>
      </c>
    </row>
    <row r="15" spans="1:3" x14ac:dyDescent="0.3">
      <c r="A15" s="1" t="s">
        <v>152</v>
      </c>
      <c r="B15" s="1">
        <v>1</v>
      </c>
      <c r="C15" t="s">
        <v>167</v>
      </c>
    </row>
    <row r="16" spans="1:3" x14ac:dyDescent="0.3">
      <c r="A16" s="1" t="s">
        <v>153</v>
      </c>
      <c r="B16" s="1">
        <v>1.8</v>
      </c>
    </row>
    <row r="17" spans="1:2" x14ac:dyDescent="0.3">
      <c r="A17" s="1" t="s">
        <v>143</v>
      </c>
      <c r="B17" s="1">
        <v>42.7</v>
      </c>
    </row>
    <row r="18" spans="1:2" x14ac:dyDescent="0.3">
      <c r="A18" s="1" t="s">
        <v>144</v>
      </c>
      <c r="B18" s="28">
        <v>23.722222219999999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0F38-F972-425D-B45D-F68F23459732}">
  <dimension ref="A1:D19"/>
  <sheetViews>
    <sheetView workbookViewId="0">
      <selection activeCell="B6" sqref="B6"/>
    </sheetView>
  </sheetViews>
  <sheetFormatPr defaultRowHeight="14.4" x14ac:dyDescent="0.3"/>
  <cols>
    <col min="1" max="1" width="23.77734375" bestFit="1" customWidth="1"/>
    <col min="2" max="2" width="12" bestFit="1" customWidth="1"/>
    <col min="3" max="3" width="9.109375" bestFit="1" customWidth="1"/>
  </cols>
  <sheetData>
    <row r="1" spans="1:4" x14ac:dyDescent="0.3">
      <c r="A1" s="13" t="s">
        <v>35</v>
      </c>
      <c r="B1" s="33" t="s">
        <v>36</v>
      </c>
    </row>
    <row r="2" spans="1:4" x14ac:dyDescent="0.3">
      <c r="A2" s="34" t="s">
        <v>127</v>
      </c>
      <c r="B2" s="12">
        <v>100</v>
      </c>
      <c r="C2" t="s">
        <v>165</v>
      </c>
      <c r="D2" t="s">
        <v>178</v>
      </c>
    </row>
    <row r="3" spans="1:4" x14ac:dyDescent="0.3">
      <c r="A3" s="34" t="s">
        <v>154</v>
      </c>
      <c r="B3" s="12">
        <v>4400</v>
      </c>
    </row>
    <row r="4" spans="1:4" x14ac:dyDescent="0.3">
      <c r="A4" s="34" t="s">
        <v>155</v>
      </c>
      <c r="B4" s="12">
        <v>10</v>
      </c>
    </row>
    <row r="5" spans="1:4" x14ac:dyDescent="0.3">
      <c r="A5" s="34" t="s">
        <v>147</v>
      </c>
      <c r="B5" s="12">
        <v>42</v>
      </c>
    </row>
    <row r="6" spans="1:4" x14ac:dyDescent="0.3">
      <c r="A6" s="34" t="s">
        <v>130</v>
      </c>
      <c r="B6" s="12">
        <v>2.738</v>
      </c>
    </row>
    <row r="7" spans="1:4" x14ac:dyDescent="0.3">
      <c r="A7" s="34" t="s">
        <v>177</v>
      </c>
      <c r="B7" s="12">
        <v>2.806</v>
      </c>
    </row>
    <row r="8" spans="1:4" x14ac:dyDescent="0.3">
      <c r="A8" s="34" t="s">
        <v>156</v>
      </c>
      <c r="B8" s="12">
        <v>4</v>
      </c>
    </row>
    <row r="9" spans="1:4" x14ac:dyDescent="0.3">
      <c r="A9" s="13" t="s">
        <v>179</v>
      </c>
      <c r="B9" s="12">
        <v>1.67</v>
      </c>
    </row>
    <row r="10" spans="1:4" x14ac:dyDescent="0.3">
      <c r="A10" s="1"/>
      <c r="B10" s="1"/>
    </row>
    <row r="11" spans="1:4" x14ac:dyDescent="0.3">
      <c r="A11" s="34" t="s">
        <v>135</v>
      </c>
      <c r="B11" s="1">
        <f>B7-B6</f>
        <v>6.800000000000006E-2</v>
      </c>
    </row>
    <row r="12" spans="1:4" x14ac:dyDescent="0.3">
      <c r="A12" s="34" t="s">
        <v>136</v>
      </c>
      <c r="B12" s="1">
        <f>B11*B2</f>
        <v>6.800000000000006</v>
      </c>
    </row>
    <row r="13" spans="1:4" x14ac:dyDescent="0.3">
      <c r="A13" s="34" t="s">
        <v>157</v>
      </c>
      <c r="B13" s="1">
        <f>B8-B9</f>
        <v>2.33</v>
      </c>
    </row>
    <row r="14" spans="1:4" x14ac:dyDescent="0.3">
      <c r="A14" s="34" t="s">
        <v>158</v>
      </c>
      <c r="B14" s="1">
        <f>(B13/100)*B7*B2</f>
        <v>6.5379800000000001</v>
      </c>
    </row>
    <row r="15" spans="1:4" x14ac:dyDescent="0.3">
      <c r="A15" s="34" t="s">
        <v>142</v>
      </c>
      <c r="B15" s="1">
        <f>B12+B14</f>
        <v>13.337980000000005</v>
      </c>
    </row>
    <row r="16" spans="1:4" x14ac:dyDescent="0.3">
      <c r="A16" s="34" t="s">
        <v>152</v>
      </c>
      <c r="B16" s="1">
        <f>(B4/1000)*B5</f>
        <v>0.42</v>
      </c>
    </row>
    <row r="17" spans="1:2" x14ac:dyDescent="0.3">
      <c r="A17" s="34" t="s">
        <v>153</v>
      </c>
      <c r="B17" s="1">
        <f>B16*(B3/1000)</f>
        <v>1.8480000000000001</v>
      </c>
    </row>
    <row r="18" spans="1:2" x14ac:dyDescent="0.3">
      <c r="A18" s="34" t="s">
        <v>143</v>
      </c>
      <c r="B18" s="1">
        <f>B15-B17</f>
        <v>11.489980000000005</v>
      </c>
    </row>
    <row r="19" spans="1:2" x14ac:dyDescent="0.3">
      <c r="A19" s="34" t="s">
        <v>144</v>
      </c>
      <c r="B19" s="28">
        <f>B18/B17</f>
        <v>6.2175216450216473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867D-A777-48FB-83A7-3F6FDB4D3A16}">
  <dimension ref="A1:I16"/>
  <sheetViews>
    <sheetView zoomScale="64" workbookViewId="0">
      <selection activeCell="C13" sqref="C13"/>
    </sheetView>
  </sheetViews>
  <sheetFormatPr defaultRowHeight="14.4" x14ac:dyDescent="0.3"/>
  <cols>
    <col min="1" max="1" width="29.21875" customWidth="1"/>
    <col min="2" max="2" width="23" bestFit="1" customWidth="1"/>
    <col min="3" max="3" width="26.5546875" customWidth="1"/>
    <col min="7" max="7" width="24.109375" customWidth="1"/>
    <col min="8" max="8" width="21.5546875" customWidth="1"/>
    <col min="9" max="9" width="26.6640625" customWidth="1"/>
  </cols>
  <sheetData>
    <row r="1" spans="1:9" ht="16.2" thickBot="1" x14ac:dyDescent="0.35">
      <c r="B1" s="25" t="s">
        <v>94</v>
      </c>
      <c r="H1" s="25" t="s">
        <v>104</v>
      </c>
    </row>
    <row r="2" spans="1:9" ht="16.2" thickBot="1" x14ac:dyDescent="0.35">
      <c r="A2" s="14" t="s">
        <v>2</v>
      </c>
      <c r="B2" s="15">
        <v>1000</v>
      </c>
      <c r="C2" s="15" t="s">
        <v>62</v>
      </c>
      <c r="G2" s="14" t="s">
        <v>2</v>
      </c>
      <c r="H2" s="15">
        <v>1000</v>
      </c>
      <c r="I2" s="15" t="s">
        <v>62</v>
      </c>
    </row>
    <row r="3" spans="1:9" ht="16.8" thickTop="1" thickBot="1" x14ac:dyDescent="0.35">
      <c r="A3" s="16" t="s">
        <v>63</v>
      </c>
      <c r="B3" s="17" t="s">
        <v>64</v>
      </c>
      <c r="C3" s="18"/>
      <c r="G3" s="16" t="s">
        <v>63</v>
      </c>
      <c r="H3" s="17" t="s">
        <v>64</v>
      </c>
      <c r="I3" s="18"/>
    </row>
    <row r="4" spans="1:9" ht="16.2" thickBot="1" x14ac:dyDescent="0.35">
      <c r="A4" s="19" t="s">
        <v>65</v>
      </c>
      <c r="B4" s="20" t="s">
        <v>66</v>
      </c>
      <c r="C4" s="21"/>
      <c r="G4" s="19" t="s">
        <v>65</v>
      </c>
      <c r="H4" s="20" t="s">
        <v>66</v>
      </c>
      <c r="I4" s="21"/>
    </row>
    <row r="5" spans="1:9" ht="16.2" thickBot="1" x14ac:dyDescent="0.35">
      <c r="A5" s="16" t="s">
        <v>67</v>
      </c>
      <c r="B5" s="17" t="s">
        <v>68</v>
      </c>
      <c r="C5" s="17" t="s">
        <v>69</v>
      </c>
      <c r="G5" s="16" t="s">
        <v>67</v>
      </c>
      <c r="H5" s="17" t="s">
        <v>68</v>
      </c>
      <c r="I5" s="17" t="s">
        <v>71</v>
      </c>
    </row>
    <row r="6" spans="1:9" ht="16.2" thickBot="1" x14ac:dyDescent="0.35">
      <c r="A6" s="19" t="s">
        <v>70</v>
      </c>
      <c r="B6" s="20" t="s">
        <v>68</v>
      </c>
      <c r="C6" s="20" t="s">
        <v>71</v>
      </c>
      <c r="G6" s="19" t="s">
        <v>70</v>
      </c>
      <c r="H6" s="20" t="s">
        <v>68</v>
      </c>
      <c r="I6" s="20" t="s">
        <v>71</v>
      </c>
    </row>
    <row r="7" spans="1:9" ht="16.2" thickBot="1" x14ac:dyDescent="0.35">
      <c r="A7" s="16" t="s">
        <v>72</v>
      </c>
      <c r="B7" s="17" t="s">
        <v>73</v>
      </c>
      <c r="C7" s="18"/>
      <c r="G7" s="16" t="s">
        <v>72</v>
      </c>
      <c r="H7" s="17" t="s">
        <v>73</v>
      </c>
      <c r="I7" s="18"/>
    </row>
    <row r="8" spans="1:9" ht="16.2" thickBot="1" x14ac:dyDescent="0.35">
      <c r="A8" s="19" t="s">
        <v>74</v>
      </c>
      <c r="B8" s="20" t="s">
        <v>75</v>
      </c>
      <c r="C8" s="21"/>
      <c r="G8" s="19" t="s">
        <v>95</v>
      </c>
      <c r="H8" s="20" t="s">
        <v>96</v>
      </c>
      <c r="I8" s="21"/>
    </row>
    <row r="9" spans="1:9" ht="16.2" thickBot="1" x14ac:dyDescent="0.35">
      <c r="A9" s="19" t="s">
        <v>76</v>
      </c>
      <c r="B9" s="20" t="s">
        <v>75</v>
      </c>
      <c r="C9" s="21"/>
      <c r="G9" s="19" t="s">
        <v>97</v>
      </c>
      <c r="H9" s="20" t="s">
        <v>96</v>
      </c>
      <c r="I9" s="21"/>
    </row>
    <row r="10" spans="1:9" ht="16.2" thickBot="1" x14ac:dyDescent="0.35">
      <c r="A10" s="16" t="s">
        <v>77</v>
      </c>
      <c r="B10" s="17" t="s">
        <v>78</v>
      </c>
      <c r="C10" s="17" t="s">
        <v>79</v>
      </c>
      <c r="G10" s="16" t="s">
        <v>77</v>
      </c>
      <c r="H10" s="17" t="s">
        <v>98</v>
      </c>
      <c r="I10" s="17" t="s">
        <v>79</v>
      </c>
    </row>
    <row r="11" spans="1:9" ht="16.2" thickBot="1" x14ac:dyDescent="0.35">
      <c r="A11" s="19" t="s">
        <v>80</v>
      </c>
      <c r="B11" s="20" t="s">
        <v>81</v>
      </c>
      <c r="C11" s="21"/>
      <c r="G11" s="19" t="s">
        <v>80</v>
      </c>
      <c r="H11" s="20" t="s">
        <v>81</v>
      </c>
      <c r="I11" s="21"/>
    </row>
    <row r="12" spans="1:9" ht="16.2" thickBot="1" x14ac:dyDescent="0.35">
      <c r="A12" s="16" t="s">
        <v>82</v>
      </c>
      <c r="B12" s="17">
        <v>50</v>
      </c>
      <c r="C12" s="17" t="s">
        <v>83</v>
      </c>
      <c r="G12" s="16" t="s">
        <v>82</v>
      </c>
      <c r="H12" s="17">
        <v>50</v>
      </c>
      <c r="I12" s="17" t="s">
        <v>83</v>
      </c>
    </row>
    <row r="13" spans="1:9" ht="16.2" thickBot="1" x14ac:dyDescent="0.35">
      <c r="A13" s="16" t="s">
        <v>84</v>
      </c>
      <c r="B13" s="17" t="s">
        <v>85</v>
      </c>
      <c r="C13" s="17" t="s">
        <v>86</v>
      </c>
      <c r="G13" s="16" t="s">
        <v>84</v>
      </c>
      <c r="H13" s="17" t="s">
        <v>99</v>
      </c>
      <c r="I13" s="17" t="s">
        <v>100</v>
      </c>
    </row>
    <row r="14" spans="1:9" ht="47.4" thickBot="1" x14ac:dyDescent="0.35">
      <c r="A14" s="19" t="s">
        <v>87</v>
      </c>
      <c r="B14" s="20" t="s">
        <v>88</v>
      </c>
      <c r="C14" s="20" t="s">
        <v>89</v>
      </c>
      <c r="G14" s="19" t="s">
        <v>101</v>
      </c>
      <c r="H14" s="20" t="s">
        <v>102</v>
      </c>
      <c r="I14" s="20" t="s">
        <v>89</v>
      </c>
    </row>
    <row r="15" spans="1:9" ht="16.2" thickBot="1" x14ac:dyDescent="0.35">
      <c r="A15" s="16" t="s">
        <v>90</v>
      </c>
      <c r="B15" s="17" t="s">
        <v>91</v>
      </c>
      <c r="C15" s="17" t="s">
        <v>92</v>
      </c>
      <c r="G15" s="16" t="s">
        <v>90</v>
      </c>
      <c r="H15" s="17" t="s">
        <v>103</v>
      </c>
      <c r="I15" s="17" t="s">
        <v>92</v>
      </c>
    </row>
    <row r="16" spans="1:9" ht="16.2" thickBot="1" x14ac:dyDescent="0.35">
      <c r="A16" s="22" t="s">
        <v>54</v>
      </c>
      <c r="B16" s="23">
        <v>0.37569444444444444</v>
      </c>
      <c r="C16" s="24" t="s">
        <v>93</v>
      </c>
      <c r="G16" s="22" t="s">
        <v>54</v>
      </c>
      <c r="H16" s="23">
        <v>0.33402777777777776</v>
      </c>
      <c r="I16" s="2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Gutsol Liquid ROI</vt:lpstr>
      <vt:lpstr>Gutsol Powder ROI</vt:lpstr>
      <vt:lpstr>Immon Layer Powder </vt:lpstr>
      <vt:lpstr>Immon Powder with Mortality Bro</vt:lpstr>
      <vt:lpstr>Colikil-R Powder Prevention </vt:lpstr>
      <vt:lpstr>Colikil-Liquid Prevention </vt:lpstr>
      <vt:lpstr>CRDX-IR Liquid </vt:lpstr>
      <vt:lpstr>Thermogard Liquid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PMT Department</cp:lastModifiedBy>
  <dcterms:created xsi:type="dcterms:W3CDTF">2026-05-22T08:38:51Z</dcterms:created>
  <dcterms:modified xsi:type="dcterms:W3CDTF">2026-08-11T07:58:34Z</dcterms:modified>
</cp:coreProperties>
</file>